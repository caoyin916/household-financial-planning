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oyi\Downloads\tmp\household-pl\"/>
    </mc:Choice>
  </mc:AlternateContent>
  <xr:revisionPtr revIDLastSave="0" documentId="13_ncr:1_{A64A8DA8-9A89-44B6-8A00-8E2F5C8D7479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income" sheetId="1" r:id="rId1"/>
    <sheet name="lo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2" i="1"/>
  <c r="D7" i="1"/>
  <c r="D6" i="1"/>
  <c r="D8" i="1"/>
  <c r="C6" i="1"/>
  <c r="B6" i="1"/>
  <c r="D5" i="1"/>
  <c r="D3" i="1"/>
</calcChain>
</file>

<file path=xl/sharedStrings.xml><?xml version="1.0" encoding="utf-8"?>
<sst xmlns="http://schemas.openxmlformats.org/spreadsheetml/2006/main" count="32" uniqueCount="32">
  <si>
    <t>Rent</t>
  </si>
  <si>
    <t>Side Hustle</t>
  </si>
  <si>
    <t>Total</t>
  </si>
  <si>
    <t>Bonus</t>
  </si>
  <si>
    <t>DCFSA</t>
  </si>
  <si>
    <t>Income - after tax</t>
  </si>
  <si>
    <t>Yin</t>
  </si>
  <si>
    <t>Xiaoxi</t>
  </si>
  <si>
    <t>HSA</t>
  </si>
  <si>
    <t>401K (pre tax) + company match</t>
  </si>
  <si>
    <t>401K (after tax)</t>
  </si>
  <si>
    <t>RSU</t>
  </si>
  <si>
    <t>amazon prime</t>
  </si>
  <si>
    <t>costco</t>
  </si>
  <si>
    <t>google youtube</t>
  </si>
  <si>
    <t>netflix plus</t>
  </si>
  <si>
    <t>cursor</t>
  </si>
  <si>
    <t>duolinguo</t>
  </si>
  <si>
    <t>vpn</t>
  </si>
  <si>
    <t>intuit</t>
  </si>
  <si>
    <t>adobe</t>
  </si>
  <si>
    <t>others</t>
  </si>
  <si>
    <t>primary HOA</t>
  </si>
  <si>
    <t>kids education</t>
  </si>
  <si>
    <t>kids others</t>
  </si>
  <si>
    <t>shopping</t>
  </si>
  <si>
    <t>travel</t>
  </si>
  <si>
    <t>Cost</t>
  </si>
  <si>
    <t>rental property tax</t>
  </si>
  <si>
    <t>managing fee</t>
  </si>
  <si>
    <t> -1,802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</si>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</sst>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25" zoomScale="190" zoomScaleNormal="190" workbookViewId="0">
      <selection activeCell="A35" sqref="A35"/>
    </sheetView>
  </sheetViews>
  <sheetFormatPr defaultRowHeight="15" x14ac:dyDescent="0.25"/>
  <cols>
    <col min="1" max="1" width="29.140625" style="1" bestFit="1" customWidth="1"/>
    <col min="2" max="4" width="14" style="1" customWidth="1"/>
    <col min="5" max="5" width="13.7109375" bestFit="1" customWidth="1"/>
  </cols>
  <sheetData>
    <row r="1" spans="1:5" x14ac:dyDescent="0.25">
      <c r="B1" s="1" t="s">
        <v>6</v>
      </c>
      <c r="C1" s="1" t="s">
        <v>7</v>
      </c>
      <c r="D1" s="1" t="s">
        <v>2</v>
      </c>
    </row>
    <row r="2" spans="1:5" x14ac:dyDescent="0.25">
      <c r="A2" s="1" t="s">
        <v>5</v>
      </c>
      <c r="B2" s="1">
        <v>4500</v>
      </c>
      <c r="C2" s="1">
        <v>3900</v>
      </c>
      <c r="D2" s="1">
        <f>SUM(B2:C2)*26</f>
        <v>218400</v>
      </c>
    </row>
    <row r="3" spans="1:5" x14ac:dyDescent="0.25">
      <c r="A3" s="1" t="s">
        <v>3</v>
      </c>
      <c r="B3" s="1">
        <v>20000</v>
      </c>
      <c r="C3" s="1">
        <v>30000</v>
      </c>
      <c r="D3" s="1">
        <f>SUM(B3:C3)</f>
        <v>50000</v>
      </c>
    </row>
    <row r="4" spans="1:5" x14ac:dyDescent="0.25">
      <c r="A4" s="1" t="s">
        <v>11</v>
      </c>
      <c r="B4" s="1">
        <v>0</v>
      </c>
      <c r="C4" s="1">
        <v>25000</v>
      </c>
      <c r="D4" s="1">
        <f>SUM(B4:C4)</f>
        <v>25000</v>
      </c>
    </row>
    <row r="5" spans="1:5" x14ac:dyDescent="0.25">
      <c r="A5" s="1" t="s">
        <v>4</v>
      </c>
      <c r="B5" s="1">
        <v>7500</v>
      </c>
      <c r="C5" s="1">
        <v>0</v>
      </c>
      <c r="D5" s="1">
        <f>SUM(B5:C5)</f>
        <v>7500</v>
      </c>
    </row>
    <row r="6" spans="1:5" x14ac:dyDescent="0.25">
      <c r="A6" s="2" t="s">
        <v>9</v>
      </c>
      <c r="B6" s="1">
        <f>21500+12500</f>
        <v>34000</v>
      </c>
      <c r="C6" s="1">
        <f>21500+12500</f>
        <v>34000</v>
      </c>
      <c r="D6" s="1">
        <f>SUM(B6:C6)</f>
        <v>68000</v>
      </c>
    </row>
    <row r="7" spans="1:5" x14ac:dyDescent="0.25">
      <c r="A7" s="2" t="s">
        <v>10</v>
      </c>
      <c r="B7" s="1">
        <v>25000</v>
      </c>
      <c r="C7" s="1">
        <v>0</v>
      </c>
      <c r="D7" s="1">
        <f>SUM(B7:C7)</f>
        <v>25000</v>
      </c>
    </row>
    <row r="8" spans="1:5" x14ac:dyDescent="0.25">
      <c r="A8" s="2" t="s">
        <v>8</v>
      </c>
      <c r="B8" s="1">
        <v>4300</v>
      </c>
      <c r="C8" s="1">
        <v>4250</v>
      </c>
      <c r="D8" s="1">
        <f>SUM(B8:C8)</f>
        <v>8550</v>
      </c>
    </row>
    <row r="9" spans="1:5" x14ac:dyDescent="0.25">
      <c r="A9" s="1" t="s">
        <v>0</v>
      </c>
    </row>
    <row r="10" spans="1:5" x14ac:dyDescent="0.25">
      <c r="A10" s="1" t="s">
        <v>1</v>
      </c>
    </row>
    <row r="13" spans="1:5" x14ac:dyDescent="0.25">
      <c r="D13" s="1" t="s">
        <v>27</v>
      </c>
    </row>
    <row r="14" spans="1:5" x14ac:dyDescent="0.25">
      <c r="E14" t="s">
        <v>22</v>
      </c>
    </row>
    <row r="15" spans="1:5" x14ac:dyDescent="0.25">
      <c r="E15" t="s">
        <v>23</v>
      </c>
    </row>
    <row r="16" spans="1:5" x14ac:dyDescent="0.25">
      <c r="E16" t="s">
        <v>24</v>
      </c>
    </row>
    <row r="17" spans="3:12" x14ac:dyDescent="0.25">
      <c r="E17" t="s">
        <v>26</v>
      </c>
    </row>
    <row r="18" spans="3:12" x14ac:dyDescent="0.25">
      <c r="E18" t="s">
        <v>25</v>
      </c>
    </row>
    <row r="19" spans="3:12" x14ac:dyDescent="0.25">
      <c r="E19" t="s">
        <v>28</v>
      </c>
    </row>
    <row r="20" spans="3:12" x14ac:dyDescent="0.25">
      <c r="E20" t="s">
        <v>29</v>
      </c>
    </row>
    <row r="27" spans="3:12" x14ac:dyDescent="0.25">
      <c r="C27" s="1" t="s">
        <v>14</v>
      </c>
      <c r="D27" s="1" t="s">
        <v>15</v>
      </c>
      <c r="E27" s="1" t="s">
        <v>12</v>
      </c>
      <c r="F27" s="1" t="s">
        <v>13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20</v>
      </c>
      <c r="L27" s="1" t="s">
        <v>21</v>
      </c>
    </row>
    <row r="28" spans="3:12" x14ac:dyDescent="0.25">
      <c r="C28" s="1">
        <v>25</v>
      </c>
      <c r="D28" s="1">
        <v>20</v>
      </c>
      <c r="E28" s="1">
        <v>15</v>
      </c>
      <c r="F28" s="1">
        <v>12</v>
      </c>
      <c r="G28" s="1">
        <v>25</v>
      </c>
      <c r="H28" s="1">
        <v>5</v>
      </c>
      <c r="I28" s="1">
        <v>5</v>
      </c>
      <c r="J28" s="1">
        <v>20</v>
      </c>
      <c r="K28" s="1">
        <v>10</v>
      </c>
    </row>
    <row r="31" spans="3:12" x14ac:dyDescent="0.25">
      <c r="C31" s="1">
        <v>28000</v>
      </c>
      <c r="D31" s="1">
        <v>11000</v>
      </c>
      <c r="E31">
        <v>15000</v>
      </c>
    </row>
    <row r="34" spans="1:2" ht="18" x14ac:dyDescent="0.35">
      <c r="A34" s="1" t="s">
        <v>31</v>
      </c>
      <c r="B34" s="3">
        <v>7428</v>
      </c>
    </row>
    <row r="35" spans="1:2" ht="18" x14ac:dyDescent="0.35">
      <c r="B35" s="3">
        <v>2606</v>
      </c>
    </row>
    <row r="36" spans="1:2" ht="18" x14ac:dyDescent="0.35">
      <c r="B36" s="3">
        <v>6428</v>
      </c>
    </row>
    <row r="37" spans="1:2" ht="18" x14ac:dyDescent="0.35">
      <c r="B37" s="3">
        <v>3640</v>
      </c>
    </row>
    <row r="38" spans="1:2" ht="18" x14ac:dyDescent="0.35">
      <c r="B38" s="3">
        <v>-2966</v>
      </c>
    </row>
    <row r="39" spans="1:2" ht="18" x14ac:dyDescent="0.35">
      <c r="B39" s="3">
        <v>-1552</v>
      </c>
    </row>
    <row r="40" spans="1:2" ht="18" x14ac:dyDescent="0.35">
      <c r="B40" s="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46BC-C7FC-4F54-8E50-8E3AC0A67D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Cao</dc:creator>
  <cp:lastModifiedBy>Yin Cao</cp:lastModifiedBy>
  <dcterms:created xsi:type="dcterms:W3CDTF">2015-06-05T18:17:20Z</dcterms:created>
  <dcterms:modified xsi:type="dcterms:W3CDTF">2026-04-12T07:59:17Z</dcterms:modified>
</cp:coreProperties>
</file>